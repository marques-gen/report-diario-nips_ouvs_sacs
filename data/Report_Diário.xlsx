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-soluctions\report-diario-nips_ouvs_sacs\data\"/>
    </mc:Choice>
  </mc:AlternateContent>
  <xr:revisionPtr revIDLastSave="0" documentId="13_ncr:1_{14B80FAB-E965-4973-A73D-24865402BF2A}" xr6:coauthVersionLast="47" xr6:coauthVersionMax="47" xr10:uidLastSave="{00000000-0000-0000-0000-000000000000}"/>
  <bookViews>
    <workbookView xWindow="-108" yWindow="-108" windowWidth="23256" windowHeight="12576" activeTab="1" xr2:uid="{EE9EC8CB-343C-4254-9DAD-B69D36F237E0}"/>
  </bookViews>
  <sheets>
    <sheet name="dados" sheetId="2" r:id="rId1"/>
    <sheet name="Report1" sheetId="1" r:id="rId2"/>
  </sheets>
  <definedNames>
    <definedName name="DadosExternos_1" localSheetId="0" hidden="1">dados!$A$1:$U$6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F4" i="1" s="1"/>
  <c r="B5" i="1"/>
  <c r="K5" i="1" s="1"/>
  <c r="K4" i="1" l="1"/>
  <c r="K6" i="1" s="1"/>
  <c r="K7" i="1" s="1"/>
  <c r="C4" i="1"/>
  <c r="H4" i="1"/>
  <c r="M4" i="1"/>
  <c r="E4" i="1"/>
  <c r="J5" i="1"/>
  <c r="C5" i="1"/>
  <c r="M5" i="1"/>
  <c r="D4" i="1"/>
  <c r="I4" i="1"/>
  <c r="N4" i="1"/>
  <c r="J4" i="1"/>
  <c r="E5" i="1"/>
  <c r="H5" i="1"/>
  <c r="D5" i="1"/>
  <c r="I5" i="1"/>
  <c r="N5" i="1"/>
  <c r="F5" i="1"/>
  <c r="F6" i="1" s="1"/>
  <c r="F7" i="1" s="1"/>
  <c r="J6" i="1" l="1"/>
  <c r="J7" i="1" s="1"/>
  <c r="H6" i="1"/>
  <c r="H7" i="1" s="1"/>
  <c r="C6" i="1"/>
  <c r="C7" i="1" s="1"/>
  <c r="E6" i="1"/>
  <c r="E7" i="1" s="1"/>
  <c r="I6" i="1"/>
  <c r="I7" i="1" s="1"/>
  <c r="N6" i="1"/>
  <c r="N7" i="1" s="1"/>
  <c r="M6" i="1"/>
  <c r="M7" i="1" s="1"/>
  <c r="D6" i="1"/>
  <c r="D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0F9D8D-69F4-496C-A1FA-60915DF2FD3A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66EB6FE2-5DB7-4546-B402-BAF629A79E51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3" xr16:uid="{9119DBB1-8F86-4BC3-A599-3EE2904673B2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0BED50E6-AEFF-472F-A8ED-C83AD732825F}" keepAlive="1" name="Consulta - site" description="Conexão com a consulta 'site' na pasta de trabalho." type="5" refreshedVersion="0" background="1">
    <dbPr connection="Provider=Microsoft.Mashup.OleDb.1;Data Source=$Workbook$;Location=site;Extended Properties=&quot;&quot;" command="SELECT * FROM [site]"/>
  </connection>
  <connection id="5" xr16:uid="{7B178049-7F4B-4C3D-9717-098D3C23260B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6" xr16:uid="{4598FF24-8C1B-4E5D-8960-7DA2C2EC6DAA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<sst xmlns="http://schemas.openxmlformats.org/spreadsheetml/2006/main" count="42" uniqueCount="37">
  <si>
    <t>Nome da Origem</t>
  </si>
  <si>
    <t>[Data_Referência_NIP]</t>
  </si>
  <si>
    <t>[Qtde_Nips_Não_solucionadas_Ult_60dias]</t>
  </si>
  <si>
    <t>[Qtde_Nips_Estratégicas_Ult_60dias]</t>
  </si>
  <si>
    <t>[Qtde_Nips_Falha_Monitoramento_ult_60dias]</t>
  </si>
  <si>
    <t>[Qtde_Nips_Prazo_Fatal_ult_60dias]</t>
  </si>
  <si>
    <t>[Qtde_Nips_Não_Solucionada_Backlog]</t>
  </si>
  <si>
    <t>Date modified</t>
  </si>
  <si>
    <t>[Data_Referência_SAC]</t>
  </si>
  <si>
    <t>[Qtde_Sacs_Pendentes_ult_30dias]</t>
  </si>
  <si>
    <t>[Qtde_de_Sacs_No_Prazo_ult_30dias]</t>
  </si>
  <si>
    <t>[Qtde_de_Sacs_Vencidos_ult_30dias]</t>
  </si>
  <si>
    <t>[Qtde_Sacs_Ameaçou_Nip_ult_30dias]</t>
  </si>
  <si>
    <t>[Qtde_de_Sacs_Demandas_estratégicas]</t>
  </si>
  <si>
    <t>[Qtde_Sacs_Prazo_Fatal]</t>
  </si>
  <si>
    <t>[Qtde_Sacs_Recindentes]</t>
  </si>
  <si>
    <t>[Data_Referência_OUV]</t>
  </si>
  <si>
    <t>[Qtde_Ouv_No_Prazo_ult_30Dias]</t>
  </si>
  <si>
    <t>[Qtde_Ouv_Prazo_Fatal_ult_30Dias]</t>
  </si>
  <si>
    <t>[Qtde_Ouv_Pendente_ult_30Dias]</t>
  </si>
  <si>
    <t>[Qtde_Ouv_Backlog]</t>
  </si>
  <si>
    <t>report_diario_nips-20251223_180045.json</t>
  </si>
  <si>
    <t>report_diario_nips-20251223_181520.json</t>
  </si>
  <si>
    <t>report_diario-20251223.json</t>
  </si>
  <si>
    <t>report_diario_nips-20251223.json</t>
  </si>
  <si>
    <t>Reporte</t>
  </si>
  <si>
    <t>SAC</t>
  </si>
  <si>
    <t>NIP</t>
  </si>
  <si>
    <t>Ouvidoria</t>
  </si>
  <si>
    <t>Vencidos</t>
  </si>
  <si>
    <t>Reincidentes</t>
  </si>
  <si>
    <t>Estratégicos</t>
  </si>
  <si>
    <t>Prazo Fatal</t>
  </si>
  <si>
    <t>Falha
Monitoramento</t>
  </si>
  <si>
    <t>QTD</t>
  </si>
  <si>
    <t>%VAR</t>
  </si>
  <si>
    <t>report_diario-20251226.json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</si>
</sst>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10"/>
      <color rgb="FF000000"/>
      <name val="Aal"/>
    </font>
    <font>
      <b/>
      <sz val="10"/>
      <color rgb="FF000000"/>
      <name val="Aal"/>
    </font>
    <font>
      <i/>
      <sz val="10"/>
      <color rgb="FF000000"/>
      <name val="Aal"/>
    </font>
    <font>
      <b/>
      <i/>
      <sz val="10"/>
      <color rgb="FF00B050"/>
      <name val="Aal"/>
    </font>
    <font>
      <b/>
      <i/>
      <sz val="10"/>
      <color rgb="FFFF0000"/>
      <name val="Aal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CCC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4" fillId="0" borderId="0" xfId="0" applyFont="1"/>
    <xf numFmtId="0" fontId="3" fillId="2" borderId="0" xfId="0" applyFont="1" applyFill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/>
    <xf numFmtId="0" fontId="9" fillId="4" borderId="2" xfId="0" applyFont="1" applyFill="1" applyBorder="1"/>
    <xf numFmtId="9" fontId="8" fillId="3" borderId="3" xfId="0" applyNumberFormat="1" applyFont="1" applyFill="1" applyBorder="1"/>
    <xf numFmtId="14" fontId="5" fillId="0" borderId="0" xfId="0" applyNumberFormat="1" applyFont="1"/>
    <xf numFmtId="9" fontId="9" fillId="4" borderId="2" xfId="1" applyFont="1" applyFill="1" applyBorder="1"/>
    <xf numFmtId="0" fontId="3" fillId="2" borderId="0" xfId="0" applyFont="1" applyFill="1"/>
    <xf numFmtId="0" fontId="3" fillId="2" borderId="1" xfId="0" applyFont="1" applyFill="1" applyBorder="1" applyAlignment="1">
      <alignment wrapText="1"/>
    </xf>
  </cellXfs>
  <cellStyles count="2">
    <cellStyle name="Normal" xfId="0" builtinId="0"/>
    <cellStyle name="Porcentagem" xfId="1" builtinId="5"/>
  </cellStyles>
  <dxfs count="5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C3BA376-7875-4140-A3C4-0AD315A67A9F}" autoFormatId="16" applyNumberFormats="0" applyBorderFormats="0" applyFontFormats="0" applyPatternFormats="0" applyAlignmentFormats="0" applyWidthHeightFormats="0">
  <queryTableRefresh nextId="31">
    <queryTableFields count="21">
      <queryTableField id="1" name="Nome da Origem" tableColumnId="1"/>
      <queryTableField id="11" name="Date modified" tableColumnId="11"/>
      <queryTableField id="2" name="[Data_Referência_NIP]" tableColumnId="2"/>
      <queryTableField id="12" name="[Qtde_Nips_Não_solucionadas_Ult_60dias]" tableColumnId="12"/>
      <queryTableField id="13" name="[Qtde_Nips_Estratégicas_Ult_60dias]" tableColumnId="13"/>
      <queryTableField id="14" name="[Qtde_Nips_Falha_Monitoramento_ult_60dias]" tableColumnId="14"/>
      <queryTableField id="15" name="[Qtde_Nips_Prazo_Fatal_ult_60dias]" tableColumnId="15"/>
      <queryTableField id="16" name="[Qtde_Nips_Não_Solucionada_Backlog]" tableColumnId="16"/>
      <queryTableField id="17" name="[Data_Referência_SAC]" tableColumnId="17"/>
      <queryTableField id="18" name="[Qtde_Sacs_Pendentes_ult_30dias]" tableColumnId="18"/>
      <queryTableField id="19" name="[Qtde_de_Sacs_No_Prazo_ult_30dias]" tableColumnId="19"/>
      <queryTableField id="20" name="[Qtde_de_Sacs_Vencidos_ult_30dias]" tableColumnId="20"/>
      <queryTableField id="21" name="[Qtde_Sacs_Ameaçou_Nip_ult_30dias]" tableColumnId="21"/>
      <queryTableField id="22" name="[Qtde_de_Sacs_Demandas_estratégicas]" tableColumnId="22"/>
      <queryTableField id="23" name="[Qtde_Sacs_Prazo_Fatal]" tableColumnId="23"/>
      <queryTableField id="24" name="[Qtde_Sacs_Recindentes]" tableColumnId="24"/>
      <queryTableField id="25" name="[Data_Referência_OUV]" tableColumnId="25"/>
      <queryTableField id="26" name="[Qtde_Ouv_No_Prazo_ult_30Dias]" tableColumnId="26"/>
      <queryTableField id="27" name="[Qtde_Ouv_Prazo_Fatal_ult_30Dias]" tableColumnId="27"/>
      <queryTableField id="28" name="[Qtde_Ouv_Pendente_ult_30Dias]" tableColumnId="28"/>
      <queryTableField id="29" name="[Qtde_Ouv_Backlog]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BDF1AE-CEFC-43E3-83BB-DD32D8790FD1}" name="Consulta1" displayName="Consulta1" ref="A1:U6" tableType="queryTable" totalsRowShown="0">
  <autoFilter ref="A1:U6" xr:uid="{8BBDF1AE-CEFC-43E3-83BB-DD32D8790FD1}"/>
  <tableColumns count="21">
    <tableColumn id="1" xr3:uid="{0990B47D-D46F-4122-8127-0405ADC6B040}" uniqueName="1" name="Nome da Origem" queryTableFieldId="1" dataDxfId="4"/>
    <tableColumn id="11" xr3:uid="{90AB2574-B97C-4019-98A1-C7886ABA1308}" uniqueName="11" name="Date modified" queryTableFieldId="11" dataDxfId="3"/>
    <tableColumn id="2" xr3:uid="{2646BBD6-B389-4E4B-8FAC-D76CEEEAE15E}" uniqueName="2" name="[Data_Referência_NIP]" queryTableFieldId="2" dataDxfId="2"/>
    <tableColumn id="12" xr3:uid="{5AB9151F-73A9-458E-9159-E8909D55E92E}" uniqueName="12" name="[Qtde_Nips_Não_solucionadas_Ult_60dias]" queryTableFieldId="12"/>
    <tableColumn id="13" xr3:uid="{72EE397E-CC42-48D2-871D-3B7FFBF222A3}" uniqueName="13" name="[Qtde_Nips_Estratégicas_Ult_60dias]" queryTableFieldId="13"/>
    <tableColumn id="14" xr3:uid="{7C830474-DD49-4E66-9C52-309E70CA1969}" uniqueName="14" name="[Qtde_Nips_Falha_Monitoramento_ult_60dias]" queryTableFieldId="14"/>
    <tableColumn id="15" xr3:uid="{8088FB52-7C9A-4AC6-AB30-BEF0906C544B}" uniqueName="15" name="[Qtde_Nips_Prazo_Fatal_ult_60dias]" queryTableFieldId="15"/>
    <tableColumn id="16" xr3:uid="{FF0DB061-D371-4741-830A-08CD71504987}" uniqueName="16" name="[Qtde_Nips_Não_Solucionada_Backlog]" queryTableFieldId="16"/>
    <tableColumn id="17" xr3:uid="{4CEAAA35-E416-4474-8220-74ABD80670FA}" uniqueName="17" name="[Data_Referência_SAC]" queryTableFieldId="17" dataDxfId="1"/>
    <tableColumn id="18" xr3:uid="{84425BA3-030A-4D98-869C-45297DEF7233}" uniqueName="18" name="[Qtde_Sacs_Pendentes_ult_30dias]" queryTableFieldId="18"/>
    <tableColumn id="19" xr3:uid="{E6C8A489-1A9A-4B40-B538-CDA96F5AA55E}" uniqueName="19" name="[Qtde_de_Sacs_No_Prazo_ult_30dias]" queryTableFieldId="19"/>
    <tableColumn id="20" xr3:uid="{DA434A29-8C27-4A1D-980D-91E34702ECB6}" uniqueName="20" name="[Qtde_de_Sacs_Vencidos_ult_30dias]" queryTableFieldId="20"/>
    <tableColumn id="21" xr3:uid="{9D3A95C5-6274-41E1-8E1A-0B8CB5E5EA04}" uniqueName="21" name="[Qtde_Sacs_Ameaçou_Nip_ult_30dias]" queryTableFieldId="21"/>
    <tableColumn id="22" xr3:uid="{C0F42A0A-37A7-4AA5-9501-D41BE58787ED}" uniqueName="22" name="[Qtde_de_Sacs_Demandas_estratégicas]" queryTableFieldId="22"/>
    <tableColumn id="23" xr3:uid="{6EB89776-71B3-494F-8D77-4DB6132D35E6}" uniqueName="23" name="[Qtde_Sacs_Prazo_Fatal]" queryTableFieldId="23"/>
    <tableColumn id="24" xr3:uid="{672304CE-2E32-4D5C-8AD9-4D3149B75A76}" uniqueName="24" name="[Qtde_Sacs_Recindentes]" queryTableFieldId="24"/>
    <tableColumn id="25" xr3:uid="{BB909208-23E1-4753-96C2-C14DF0CEFBC8}" uniqueName="25" name="[Data_Referência_OUV]" queryTableFieldId="25" dataDxfId="0"/>
    <tableColumn id="26" xr3:uid="{CC084EC0-1258-4709-9D55-C6351A13CF84}" uniqueName="26" name="[Qtde_Ouv_No_Prazo_ult_30Dias]" queryTableFieldId="26"/>
    <tableColumn id="27" xr3:uid="{47C99EAC-4E85-4F58-85AC-4B9BA477D168}" uniqueName="27" name="[Qtde_Ouv_Prazo_Fatal_ult_30Dias]" queryTableFieldId="27"/>
    <tableColumn id="28" xr3:uid="{47878005-3D66-414E-BAF5-39D6174EC872}" uniqueName="28" name="[Qtde_Ouv_Pendente_ult_30Dias]" queryTableFieldId="28"/>
    <tableColumn id="29" xr3:uid="{0798FA61-E2D7-4286-8447-03D280543735}" uniqueName="29" name="[Qtde_Ouv_Backlog]" queryTableFieldId="2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3C29-0285-4D1E-9095-DDFD9850EE0C}">
  <dimension ref="A1:U18"/>
  <sheetViews>
    <sheetView workbookViewId="0"/>
  </sheetViews>
  <sheetFormatPr defaultRowHeight="14.4"/>
  <cols>
    <col min="1" max="1" width="35.33203125" bestFit="1" customWidth="1"/>
    <col min="2" max="2" width="15.33203125" bestFit="1" customWidth="1"/>
    <col min="3" max="3" width="21.5546875" customWidth="1"/>
    <col min="4" max="4" width="38" bestFit="1" customWidth="1"/>
    <col min="5" max="5" width="33" bestFit="1" customWidth="1"/>
    <col min="6" max="6" width="40.5546875" bestFit="1" customWidth="1"/>
    <col min="7" max="7" width="32.21875" bestFit="1" customWidth="1"/>
    <col min="8" max="8" width="35.109375" bestFit="1" customWidth="1"/>
    <col min="9" max="9" width="22" bestFit="1" customWidth="1"/>
    <col min="10" max="10" width="31.5546875" bestFit="1" customWidth="1"/>
    <col min="11" max="11" width="33.5546875" bestFit="1" customWidth="1"/>
    <col min="12" max="12" width="33.33203125" bestFit="1" customWidth="1"/>
    <col min="13" max="13" width="34.33203125" bestFit="1" customWidth="1"/>
    <col min="14" max="14" width="36.44140625" bestFit="1" customWidth="1"/>
    <col min="15" max="15" width="23.21875" bestFit="1" customWidth="1"/>
    <col min="16" max="16" width="24" bestFit="1" customWidth="1"/>
    <col min="17" max="17" width="22.33203125" bestFit="1" customWidth="1"/>
    <col min="18" max="18" width="30.109375" bestFit="1" customWidth="1"/>
    <col min="19" max="19" width="31.88671875" bestFit="1" customWidth="1"/>
    <col min="20" max="20" width="30.109375" bestFit="1" customWidth="1"/>
    <col min="21" max="21" width="19.44140625" bestFit="1" customWidth="1"/>
    <col min="22" max="22" width="38.33203125" bestFit="1" customWidth="1"/>
    <col min="23" max="23" width="7.44140625" bestFit="1" customWidth="1"/>
    <col min="24" max="24" width="38" bestFit="1" customWidth="1"/>
    <col min="25" max="25" width="33" bestFit="1" customWidth="1"/>
    <col min="26" max="26" width="40.5546875" bestFit="1" customWidth="1"/>
    <col min="27" max="27" width="32.21875" bestFit="1" customWidth="1"/>
    <col min="28" max="28" width="35.109375" bestFit="1" customWidth="1"/>
    <col min="29" max="29" width="21.6640625" bestFit="1" customWidth="1"/>
  </cols>
  <sheetData>
    <row r="1" spans="1:21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36</v>
      </c>
      <c r="B2" s="1">
        <v>46017.528321759259</v>
      </c>
      <c r="C2" s="1">
        <v>46006</v>
      </c>
      <c r="D2">
        <v>0</v>
      </c>
      <c r="E2">
        <v>92</v>
      </c>
      <c r="F2">
        <v>7744</v>
      </c>
      <c r="G2">
        <v>254</v>
      </c>
      <c r="H2">
        <v>14</v>
      </c>
      <c r="I2" s="1">
        <v>46006</v>
      </c>
      <c r="J2">
        <v>12561</v>
      </c>
      <c r="K2">
        <v>11319</v>
      </c>
      <c r="L2">
        <v>0</v>
      </c>
      <c r="M2">
        <v>136</v>
      </c>
      <c r="N2">
        <v>155</v>
      </c>
      <c r="O2">
        <v>2486</v>
      </c>
      <c r="P2">
        <v>2103</v>
      </c>
      <c r="Q2" s="1">
        <v>46006</v>
      </c>
      <c r="R2">
        <v>650</v>
      </c>
      <c r="S2">
        <v>100</v>
      </c>
      <c r="T2">
        <v>697</v>
      </c>
      <c r="U2">
        <v>47</v>
      </c>
    </row>
    <row r="3" spans="1:21">
      <c r="A3" t="s">
        <v>23</v>
      </c>
      <c r="B3" s="1">
        <v>46014.832766203705</v>
      </c>
      <c r="C3" s="1">
        <v>46006</v>
      </c>
      <c r="D3">
        <v>0</v>
      </c>
      <c r="E3">
        <v>97</v>
      </c>
      <c r="F3">
        <v>7979</v>
      </c>
      <c r="G3">
        <v>254</v>
      </c>
      <c r="H3">
        <v>14</v>
      </c>
      <c r="I3" s="1">
        <v>46006</v>
      </c>
      <c r="J3">
        <v>12561</v>
      </c>
      <c r="K3">
        <v>11319</v>
      </c>
      <c r="L3">
        <v>0</v>
      </c>
      <c r="M3">
        <v>136</v>
      </c>
      <c r="N3">
        <v>155</v>
      </c>
      <c r="O3">
        <v>2486</v>
      </c>
      <c r="P3">
        <v>2103</v>
      </c>
      <c r="Q3" s="1">
        <v>46006</v>
      </c>
      <c r="R3">
        <v>650</v>
      </c>
      <c r="S3">
        <v>100</v>
      </c>
      <c r="T3">
        <v>697</v>
      </c>
      <c r="U3">
        <v>47</v>
      </c>
    </row>
    <row r="4" spans="1:21">
      <c r="A4" t="s">
        <v>21</v>
      </c>
      <c r="B4" s="1">
        <v>46014.750532407408</v>
      </c>
      <c r="C4" s="1">
        <v>46006</v>
      </c>
      <c r="D4">
        <v>0</v>
      </c>
      <c r="E4">
        <v>97</v>
      </c>
      <c r="F4">
        <v>7979</v>
      </c>
      <c r="G4">
        <v>254</v>
      </c>
      <c r="H4">
        <v>14</v>
      </c>
      <c r="I4" s="1">
        <v>46006</v>
      </c>
      <c r="J4">
        <v>12561</v>
      </c>
      <c r="K4">
        <v>11319</v>
      </c>
      <c r="L4">
        <v>0</v>
      </c>
      <c r="M4">
        <v>136</v>
      </c>
      <c r="N4">
        <v>155</v>
      </c>
      <c r="O4">
        <v>2486</v>
      </c>
      <c r="P4">
        <v>2103</v>
      </c>
      <c r="Q4" s="1">
        <v>46006</v>
      </c>
      <c r="R4">
        <v>650</v>
      </c>
      <c r="S4">
        <v>100</v>
      </c>
      <c r="T4">
        <v>697</v>
      </c>
      <c r="U4">
        <v>47</v>
      </c>
    </row>
    <row r="5" spans="1:21">
      <c r="A5" t="s">
        <v>24</v>
      </c>
      <c r="B5" s="1">
        <v>46014.778553240743</v>
      </c>
      <c r="C5" s="1">
        <v>46006</v>
      </c>
      <c r="D5">
        <v>0</v>
      </c>
      <c r="E5">
        <v>97</v>
      </c>
      <c r="F5">
        <v>7979</v>
      </c>
      <c r="G5">
        <v>254</v>
      </c>
      <c r="H5">
        <v>14</v>
      </c>
      <c r="I5" s="1">
        <v>46006</v>
      </c>
      <c r="J5">
        <v>12561</v>
      </c>
      <c r="K5">
        <v>11319</v>
      </c>
      <c r="L5">
        <v>0</v>
      </c>
      <c r="M5">
        <v>136</v>
      </c>
      <c r="N5">
        <v>155</v>
      </c>
      <c r="O5">
        <v>2486</v>
      </c>
      <c r="P5">
        <v>2103</v>
      </c>
      <c r="Q5" s="1">
        <v>46006</v>
      </c>
      <c r="R5">
        <v>650</v>
      </c>
      <c r="S5">
        <v>100</v>
      </c>
      <c r="T5">
        <v>697</v>
      </c>
      <c r="U5">
        <v>47</v>
      </c>
    </row>
    <row r="6" spans="1:21">
      <c r="A6" t="s">
        <v>22</v>
      </c>
      <c r="B6" s="1">
        <v>46014.760659722226</v>
      </c>
      <c r="C6" s="1">
        <v>46006</v>
      </c>
      <c r="D6">
        <v>0</v>
      </c>
      <c r="E6">
        <v>97</v>
      </c>
      <c r="F6">
        <v>7979</v>
      </c>
      <c r="G6">
        <v>254</v>
      </c>
      <c r="H6">
        <v>14</v>
      </c>
      <c r="I6" s="1">
        <v>46006</v>
      </c>
      <c r="J6">
        <v>12561</v>
      </c>
      <c r="K6">
        <v>11319</v>
      </c>
      <c r="L6">
        <v>0</v>
      </c>
      <c r="M6">
        <v>136</v>
      </c>
      <c r="N6">
        <v>155</v>
      </c>
      <c r="O6">
        <v>2486</v>
      </c>
      <c r="P6">
        <v>2103</v>
      </c>
      <c r="Q6" s="1">
        <v>46006</v>
      </c>
      <c r="R6">
        <v>650</v>
      </c>
      <c r="S6">
        <v>100</v>
      </c>
      <c r="T6">
        <v>697</v>
      </c>
      <c r="U6">
        <v>47</v>
      </c>
    </row>
    <row r="17" spans="1:1">
      <c r="A17" s="1"/>
    </row>
    <row r="18" spans="1:1">
      <c r="A18" s="1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86D8-97BE-4E72-85C5-10293A2BBC2D}">
  <dimension ref="B2:N7"/>
  <sheetViews>
    <sheetView showGridLines="0" tabSelected="1" workbookViewId="0">
      <selection activeCell="D17" sqref="D17"/>
    </sheetView>
  </sheetViews>
  <sheetFormatPr defaultRowHeight="14.4"/>
  <cols>
    <col min="1" max="1" width="1.88671875" customWidth="1"/>
    <col min="2" max="2" width="10.109375" bestFit="1" customWidth="1"/>
    <col min="3" max="3" width="13.33203125" bestFit="1" customWidth="1"/>
    <col min="7" max="7" width="0.44140625" customWidth="1"/>
    <col min="12" max="12" width="0.5546875" customWidth="1"/>
  </cols>
  <sheetData>
    <row r="2" spans="2:14">
      <c r="B2" s="12" t="s">
        <v>25</v>
      </c>
      <c r="C2" s="13" t="s">
        <v>26</v>
      </c>
      <c r="D2" s="13"/>
      <c r="E2" s="13"/>
      <c r="F2" s="13"/>
      <c r="G2" s="2"/>
      <c r="H2" s="13" t="s">
        <v>27</v>
      </c>
      <c r="I2" s="13"/>
      <c r="J2" s="13"/>
      <c r="K2" s="13"/>
      <c r="L2" s="2"/>
      <c r="M2" s="13" t="s">
        <v>28</v>
      </c>
      <c r="N2" s="13"/>
    </row>
    <row r="3" spans="2:14" ht="40.200000000000003">
      <c r="B3" s="12"/>
      <c r="C3" s="3" t="s">
        <v>29</v>
      </c>
      <c r="D3" s="3" t="s">
        <v>30</v>
      </c>
      <c r="E3" s="3" t="s">
        <v>31</v>
      </c>
      <c r="F3" s="3" t="s">
        <v>32</v>
      </c>
      <c r="G3" s="2"/>
      <c r="H3" s="3" t="s">
        <v>29</v>
      </c>
      <c r="I3" s="3" t="s">
        <v>33</v>
      </c>
      <c r="J3" s="3" t="s">
        <v>31</v>
      </c>
      <c r="K3" s="3" t="s">
        <v>32</v>
      </c>
      <c r="L3" s="2"/>
      <c r="M3" s="3" t="s">
        <v>29</v>
      </c>
      <c r="N3" s="3" t="s">
        <v>32</v>
      </c>
    </row>
    <row r="4" spans="2:14">
      <c r="B4" s="10">
        <f>LARGE(Consulta1[Date modified],2)</f>
        <v>46014.832766203705</v>
      </c>
      <c r="C4" s="4">
        <f>VLOOKUP($B4,dados!$B:$U,11,0)</f>
        <v>0</v>
      </c>
      <c r="D4" s="4">
        <f>VLOOKUP($B4,dados!$B:$U,15,0)</f>
        <v>2103</v>
      </c>
      <c r="E4" s="4">
        <f>VLOOKUP($B4,dados!$B:$U,13,0)</f>
        <v>155</v>
      </c>
      <c r="F4" s="4">
        <f>VLOOKUP($B4,dados!$B:$U,14,0)</f>
        <v>2486</v>
      </c>
      <c r="G4" s="4"/>
      <c r="H4" s="4">
        <f>VLOOKUP($B4,dados!$B:$U,7,0)</f>
        <v>14</v>
      </c>
      <c r="I4" s="4">
        <f>VLOOKUP($B4,dados!$B:$U,5,0)</f>
        <v>7979</v>
      </c>
      <c r="J4" s="4">
        <f>VLOOKUP($B4,dados!$B:$U,4,0)</f>
        <v>97</v>
      </c>
      <c r="K4" s="4">
        <f>VLOOKUP($B4,dados!$B:$U,6,0)</f>
        <v>254</v>
      </c>
      <c r="L4" s="4"/>
      <c r="M4" s="4">
        <f>VLOOKUP($B4,dados!$B:$U,20,0)</f>
        <v>47</v>
      </c>
      <c r="N4" s="4">
        <f>VLOOKUP($B4,dados!$B:$U,18,0)</f>
        <v>100</v>
      </c>
    </row>
    <row r="5" spans="2:14">
      <c r="B5" s="10">
        <f>LARGE(Consulta1[Date modified],1)</f>
        <v>46017.528321759259</v>
      </c>
      <c r="C5" s="4">
        <f>VLOOKUP($B5,dados!$B:$U,11,0)</f>
        <v>0</v>
      </c>
      <c r="D5" s="4">
        <f>VLOOKUP($B5,dados!$B:$U,15,0)</f>
        <v>2103</v>
      </c>
      <c r="E5" s="4">
        <f>VLOOKUP($B5,dados!$B:$U,13,0)</f>
        <v>155</v>
      </c>
      <c r="F5" s="4">
        <f>VLOOKUP($B5,dados!$B:$U,14,0)</f>
        <v>2486</v>
      </c>
      <c r="G5" s="5"/>
      <c r="H5" s="4">
        <f>VLOOKUP($B5,dados!$B:$U,7,0)</f>
        <v>14</v>
      </c>
      <c r="I5" s="4">
        <f>VLOOKUP($B5,dados!$B:$U,5,0)</f>
        <v>7744</v>
      </c>
      <c r="J5" s="4">
        <f>VLOOKUP($B5,dados!$B:$U,4,0)</f>
        <v>92</v>
      </c>
      <c r="K5" s="4">
        <f>VLOOKUP($B5,dados!$B:$U,6,0)</f>
        <v>254</v>
      </c>
      <c r="L5" s="5"/>
      <c r="M5" s="4">
        <f>VLOOKUP($B5,dados!$B:$U,20,0)</f>
        <v>47</v>
      </c>
      <c r="N5" s="4">
        <f>VLOOKUP($B5,dados!$B:$U,18,0)</f>
        <v>100</v>
      </c>
    </row>
    <row r="6" spans="2:14">
      <c r="B6" s="6" t="s">
        <v>34</v>
      </c>
      <c r="C6" s="7">
        <f>C5-C4</f>
        <v>0</v>
      </c>
      <c r="D6" s="8">
        <f>D5-D4</f>
        <v>0</v>
      </c>
      <c r="E6" s="8">
        <f>E5-E4</f>
        <v>0</v>
      </c>
      <c r="F6" s="8">
        <f>F5-F4</f>
        <v>0</v>
      </c>
      <c r="G6" s="4"/>
      <c r="H6" s="7">
        <f>H5-H4</f>
        <v>0</v>
      </c>
      <c r="I6" s="8">
        <f>I5-I4</f>
        <v>-235</v>
      </c>
      <c r="J6" s="8">
        <f>J5-J4</f>
        <v>-5</v>
      </c>
      <c r="K6" s="8">
        <f>K5-K4</f>
        <v>0</v>
      </c>
      <c r="L6" s="4"/>
      <c r="M6" s="7">
        <f>M5-M4</f>
        <v>0</v>
      </c>
      <c r="N6" s="8">
        <f>N5-N4</f>
        <v>0</v>
      </c>
    </row>
    <row r="7" spans="2:14">
      <c r="B7" s="6" t="s">
        <v>35</v>
      </c>
      <c r="C7" s="9">
        <f>IFERROR(C6/C4,0)</f>
        <v>0</v>
      </c>
      <c r="D7" s="11">
        <f>IFERROR(D6/D4,0)</f>
        <v>0</v>
      </c>
      <c r="E7" s="11">
        <f>IFERROR(E6/E4,0)</f>
        <v>0</v>
      </c>
      <c r="F7" s="11">
        <f t="shared" ref="F7" si="0">IFERROR(F6/F4,0)</f>
        <v>0</v>
      </c>
      <c r="G7" s="4"/>
      <c r="H7" s="9">
        <f>IFERROR(H6/H4,0)</f>
        <v>0</v>
      </c>
      <c r="I7" s="11">
        <f t="shared" ref="I7" si="1">IFERROR(I6/I4,0)</f>
        <v>-2.945231231983958E-2</v>
      </c>
      <c r="J7" s="11">
        <f t="shared" ref="J7" si="2">IFERROR(J6/J4,0)</f>
        <v>-5.1546391752577317E-2</v>
      </c>
      <c r="K7" s="11">
        <f t="shared" ref="K7" si="3">IFERROR(K6/K4,0)</f>
        <v>0</v>
      </c>
      <c r="L7" s="4"/>
      <c r="M7" s="9">
        <f>IFERROR(M6/M4,0)</f>
        <v>0</v>
      </c>
      <c r="N7" s="11">
        <f t="shared" ref="N7" si="4">IFERROR(N6/N4,0)</f>
        <v>0</v>
      </c>
    </row>
  </sheetData>
  <mergeCells count="4">
    <mergeCell ref="B2:B3"/>
    <mergeCell ref="C2:F2"/>
    <mergeCell ref="H2:K2"/>
    <mergeCell ref="M2:N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C1EBDF-3908-4F8F-8CD7-96E6B29DC3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Report1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Genelson Marques marques</dc:creator>
  <cp:lastModifiedBy>Genelson Marques marques</cp:lastModifiedBy>
  <dcterms:created xsi:type="dcterms:W3CDTF">2025-12-23T14:22:07Z</dcterms:created>
  <dcterms:modified xsi:type="dcterms:W3CDTF">2025-12-26T16:49:38Z</dcterms:modified>
</cp:coreProperties>
</file>